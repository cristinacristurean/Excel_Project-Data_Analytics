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esktop\Excel Course\Excel_Data_Analytics_Course-main\Excel_Data_Analytics_Course-main\2_Formulas_Functions\"/>
    </mc:Choice>
  </mc:AlternateContent>
  <xr:revisionPtr revIDLastSave="0" documentId="13_ncr:1_{1D648DED-8CD9-4355-8227-E420C9520CA2}" xr6:coauthVersionLast="47" xr6:coauthVersionMax="47" xr10:uidLastSave="{00000000-0000-0000-0000-000000000000}"/>
  <bookViews>
    <workbookView xWindow="-120" yWindow="-120" windowWidth="29040" windowHeight="15720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" i="10" l="1" a="1"/>
  <c r="R3" i="10"/>
  <c r="R4" i="10" a="1"/>
  <c r="R4" i="10" s="1"/>
  <c r="R5" i="10" a="1"/>
  <c r="R5" i="10"/>
  <c r="R6" i="10" a="1"/>
  <c r="R6" i="10"/>
  <c r="R7" i="10" a="1"/>
  <c r="R7" i="10" s="1"/>
  <c r="R8" i="10" a="1"/>
  <c r="R8" i="10"/>
  <c r="R9" i="10" a="1"/>
  <c r="R9" i="10"/>
  <c r="R10" i="10" a="1"/>
  <c r="R10" i="10" s="1"/>
  <c r="R11" i="10" a="1"/>
  <c r="R11" i="10"/>
  <c r="R12" i="10" a="1"/>
  <c r="R12" i="10"/>
  <c r="R13" i="10" a="1"/>
  <c r="R13" i="10" s="1"/>
  <c r="R14" i="10" a="1"/>
  <c r="R14" i="10"/>
  <c r="R15" i="10" a="1"/>
  <c r="R15" i="10" s="1"/>
  <c r="R16" i="10" a="1"/>
  <c r="R16" i="10" s="1"/>
  <c r="R17" i="10" a="1"/>
  <c r="R17" i="10"/>
  <c r="R18" i="10" a="1"/>
  <c r="R18" i="10" s="1"/>
  <c r="R19" i="10" a="1"/>
  <c r="R19" i="10" s="1"/>
  <c r="R20" i="10" a="1"/>
  <c r="R20" i="10"/>
  <c r="R21" i="10" a="1"/>
  <c r="R21" i="10" s="1"/>
  <c r="R2" i="10" a="1"/>
  <c r="R2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L2" i="10"/>
  <c r="K2" i="10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<sst xmlns="http://schemas.openxmlformats.org/spreadsheetml/2006/main" count="395" uniqueCount="144">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</sst>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Q4" sqref="Q4"/>
    </sheetView>
  </sheetViews>
  <sheetFormatPr defaultColWidth="9.140625" defaultRowHeight="15" x14ac:dyDescent="0.25"/>
  <cols>
    <col min="1" max="1" width="5.140625" style="1" customWidth="1"/>
    <col min="2" max="2" width="22.7109375" style="1" bestFit="1" customWidth="1"/>
    <col min="3" max="3" width="18.28515625" style="1" bestFit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.140625" style="1" hidden="1" customWidth="1"/>
    <col min="8" max="9" width="11.140625" style="1" hidden="1" customWidth="1"/>
    <col min="10" max="10" width="17.28515625" style="1" hidden="1" customWidth="1"/>
    <col min="11" max="11" width="14.28515625" style="1" hidden="1" customWidth="1"/>
    <col min="12" max="12" width="10.28515625" style="1" customWidth="1"/>
    <col min="13" max="13" width="9.140625" style="1" customWidth="1"/>
    <col min="14" max="14" width="10.42578125" style="1" hidden="1" customWidth="1"/>
    <col min="15" max="15" width="14.140625" style="1" hidden="1" customWidth="1"/>
    <col min="16" max="16" width="9.7109375" style="1" customWidth="1"/>
    <col min="17" max="17" width="9.140625" style="1"/>
    <col min="18" max="18" width="14.140625" style="1" bestFit="1" customWidth="1"/>
    <col min="19" max="16384" width="9.140625" style="1"/>
  </cols>
  <sheetData>
    <row r="1" spans="2:17" ht="15.75" thickBot="1" x14ac:dyDescent="0.3">
      <c r="G1" s="25"/>
    </row>
    <row r="2" spans="2:17" s="11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met","Not met")</f>
        <v>Goal met</v>
      </c>
    </row>
    <row r="4" spans="2:17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/>
    </row>
    <row r="5" spans="2:17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/>
    </row>
    <row r="6" spans="2:17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/>
    </row>
    <row r="7" spans="2:17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/>
    </row>
    <row r="8" spans="2:17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/>
    </row>
    <row r="9" spans="2:17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/>
    </row>
    <row r="10" spans="2:17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/>
    </row>
    <row r="11" spans="2:17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/>
    </row>
    <row r="12" spans="2:17" ht="15.75" thickBot="1" x14ac:dyDescent="0.3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3"/>
    </row>
    <row r="14" spans="2:17" ht="15.75" thickBot="1" x14ac:dyDescent="0.3">
      <c r="B14" s="17" t="s">
        <v>25</v>
      </c>
    </row>
    <row r="15" spans="2:17" x14ac:dyDescent="0.25">
      <c r="B15" s="13" t="s">
        <v>22</v>
      </c>
      <c r="C15" s="14">
        <v>5</v>
      </c>
    </row>
    <row r="16" spans="2:17" ht="15.75" thickBot="1" x14ac:dyDescent="0.3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40625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.140625" style="1" hidden="1" customWidth="1"/>
    <col min="8" max="9" width="11.140625" style="1" hidden="1" customWidth="1"/>
    <col min="10" max="10" width="17.28515625" style="1" hidden="1" customWidth="1"/>
    <col min="11" max="11" width="14.28515625" style="1" hidden="1" customWidth="1"/>
    <col min="12" max="12" width="10.28515625" style="1" hidden="1" customWidth="1"/>
    <col min="13" max="13" width="9.140625" style="1" hidden="1" customWidth="1"/>
    <col min="14" max="14" width="10.42578125" style="1" hidden="1" customWidth="1"/>
    <col min="15" max="15" width="14.140625" style="1" hidden="1" customWidth="1"/>
    <col min="16" max="16" width="9.7109375" style="1" hidden="1" customWidth="1"/>
    <col min="17" max="17" width="9.7109375" style="1" customWidth="1"/>
    <col min="18" max="18" width="9.140625" style="1"/>
    <col min="19" max="19" width="14.140625" style="1" bestFit="1" customWidth="1"/>
    <col min="20" max="16384" width="9.140625" style="1"/>
  </cols>
  <sheetData>
    <row r="1" spans="2:17" ht="15.75" thickBot="1" x14ac:dyDescent="0.3">
      <c r="G1" s="25"/>
    </row>
    <row r="2" spans="2:17" s="11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.75" thickBot="1" x14ac:dyDescent="0.3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.75" thickBot="1" x14ac:dyDescent="0.3">
      <c r="B14" s="17" t="s">
        <v>25</v>
      </c>
    </row>
    <row r="15" spans="2:17" x14ac:dyDescent="0.25">
      <c r="B15" s="13" t="s">
        <v>22</v>
      </c>
      <c r="C15" s="14">
        <v>5</v>
      </c>
    </row>
    <row r="16" spans="2:17" ht="15.75" thickBot="1" x14ac:dyDescent="0.3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workbookViewId="0">
      <selection activeCell="AB24" sqref="AB24"/>
    </sheetView>
  </sheetViews>
  <sheetFormatPr defaultRowHeight="15" x14ac:dyDescent="0.25"/>
  <cols>
    <col min="1" max="1" width="16.85546875" bestFit="1" customWidth="1"/>
    <col min="2" max="2" width="19.140625" hidden="1" customWidth="1"/>
    <col min="3" max="3" width="21.85546875" hidden="1" customWidth="1"/>
    <col min="4" max="4" width="11.140625" hidden="1" customWidth="1"/>
    <col min="5" max="5" width="38.140625" hidden="1" customWidth="1"/>
    <col min="6" max="6" width="14.5703125" hidden="1" customWidth="1"/>
    <col min="7" max="7" width="18.5703125" hidden="1" customWidth="1"/>
    <col min="8" max="8" width="13.85546875" bestFit="1" customWidth="1"/>
    <col min="9" max="9" width="19" hidden="1" customWidth="1"/>
    <col min="10" max="10" width="68.140625" hidden="1" customWidth="1"/>
    <col min="11" max="11" width="12" hidden="1" customWidth="1"/>
    <col min="12" max="12" width="14.28515625" hidden="1" customWidth="1"/>
    <col min="13" max="13" width="12" hidden="1" customWidth="1"/>
    <col min="14" max="14" width="6.5703125" hidden="1" customWidth="1"/>
    <col min="15" max="15" width="6" hidden="1" customWidth="1"/>
    <col min="16" max="16" width="12" bestFit="1" customWidth="1"/>
    <col min="17" max="17" width="8.140625" bestFit="1" customWidth="1"/>
    <col min="18" max="18" width="10.85546875" bestFit="1" customWidth="1"/>
  </cols>
  <sheetData>
    <row r="1" spans="1:18" x14ac:dyDescent="0.2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2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IF($A2=K$1,"Role Desired", "NOT Desired")</f>
        <v>NOT Desired</v>
      </c>
      <c r="L2" t="str">
        <f>IF($A2=L$1,"Role Desired", "NOT Desired")</f>
        <v>NOT Desired</v>
      </c>
      <c r="M2" t="str">
        <f>IF($A2=K$1,"Role Desired", IF($A2=L$1,"Role Desired", "NOT Desired"))</f>
        <v>NOT Desired</v>
      </c>
      <c r="N2" t="b">
        <f>AND($A2=K$1,$A2=L$1)</f>
        <v>0</v>
      </c>
      <c r="O2" t="b">
        <f>OR($A2=K$1,$A2=L$1)</f>
        <v>0</v>
      </c>
      <c r="P2" t="str">
        <f>IF(OR($A2=K$1,$A2=L$1),"Role Desired", "NOT Desired")</f>
        <v>NOT Desired</v>
      </c>
      <c r="Q2" t="str">
        <f>IF($H2&gt;Q$1,"High","Low")</f>
        <v>High</v>
      </c>
      <c r="R2" t="str" cm="1">
        <f t="array" ref="R2">_xlfn.IFS($H2="","No Data",$H2&gt;=$Q$1,"Salary High", TRUE, "Salary Low")</f>
        <v>Salary High</v>
      </c>
    </row>
    <row r="3" spans="1:18" x14ac:dyDescent="0.2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L21" si="0">IF($A3=K$1,"Role Desired", "NOT Desired")</f>
        <v>Role Desired</v>
      </c>
      <c r="L3" t="str">
        <f t="shared" si="0"/>
        <v>NOT Desired</v>
      </c>
      <c r="M3" t="str">
        <f t="shared" ref="M3:M21" si="1">IF($A3=K$1,"Role Desired", IF($A3=L$1,"Role Desired", "NOT Desired"))</f>
        <v>Role Desired</v>
      </c>
      <c r="N3" t="b">
        <f t="shared" ref="N3:N21" si="2">AND($A3=K$1,$A3=L$1)</f>
        <v>0</v>
      </c>
      <c r="O3" t="b">
        <f t="shared" ref="O3:O21" si="3">OR($A3=K$1,$A3=L$1)</f>
        <v>1</v>
      </c>
      <c r="P3" t="str">
        <f t="shared" ref="P3:P21" si="4">IF(OR($A3=K$1,$A3=L$1),"Role Desired", "NOT Desired")</f>
        <v>Role Desired</v>
      </c>
      <c r="Q3" t="str">
        <f t="shared" ref="Q3:Q21" si="5">IF($H3&gt;Q$1,"High","Low")</f>
        <v>Low</v>
      </c>
      <c r="R3" t="str" cm="1">
        <f t="array" ref="R3">_xlfn.IFS($H3="","No Data",$H3&gt;=$Q$1,"Salary High", TRUE, "Salary Low")</f>
        <v>Salary Low</v>
      </c>
    </row>
    <row r="4" spans="1:18" x14ac:dyDescent="0.2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0"/>
        <v>NOT Desired</v>
      </c>
      <c r="M4" t="str">
        <f t="shared" si="1"/>
        <v>Role Desired</v>
      </c>
      <c r="N4" t="b">
        <f t="shared" si="2"/>
        <v>0</v>
      </c>
      <c r="O4" t="b">
        <f t="shared" si="3"/>
        <v>1</v>
      </c>
      <c r="P4" t="str">
        <f t="shared" si="4"/>
        <v>Role Desired</v>
      </c>
      <c r="Q4" t="str">
        <f t="shared" si="5"/>
        <v>Low</v>
      </c>
      <c r="R4" t="str" cm="1">
        <f t="array" ref="R4">_xlfn.IFS($H4="","No Data",$H4&gt;=$Q$1,"Salary High", TRUE, "Salary Low")</f>
        <v>No Data</v>
      </c>
    </row>
    <row r="5" spans="1:18" x14ac:dyDescent="0.2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0"/>
        <v>NOT Desired</v>
      </c>
      <c r="M5" t="str">
        <f t="shared" si="1"/>
        <v>NOT Desired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Q5" t="str">
        <f t="shared" si="5"/>
        <v>Low</v>
      </c>
      <c r="R5" t="str" cm="1">
        <f t="array" ref="R5">_xlfn.IFS($H5="","No Data",$H5&gt;=$Q$1,"Salary High", TRUE, "Salary Low")</f>
        <v>No Data</v>
      </c>
    </row>
    <row r="6" spans="1:18" x14ac:dyDescent="0.2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Q6" t="str">
        <f t="shared" si="5"/>
        <v>Low</v>
      </c>
      <c r="R6" t="str" cm="1">
        <f t="array" ref="R6">_xlfn.IFS($H6="","No Data",$H6&gt;=$Q$1,"Salary High", TRUE, "Salary Low")</f>
        <v>No Data</v>
      </c>
    </row>
    <row r="7" spans="1:18" x14ac:dyDescent="0.2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Q7" t="str">
        <f t="shared" si="5"/>
        <v>Low</v>
      </c>
      <c r="R7" t="str" cm="1">
        <f t="array" ref="R7">_xlfn.IFS($H7="","No Data",$H7&gt;=$Q$1,"Salary High", TRUE, "Salary Low")</f>
        <v>No Data</v>
      </c>
    </row>
    <row r="8" spans="1:18" x14ac:dyDescent="0.2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0"/>
        <v>NOT Desired</v>
      </c>
      <c r="M8" t="str">
        <f t="shared" si="1"/>
        <v>Role Desired</v>
      </c>
      <c r="N8" t="b">
        <f t="shared" si="2"/>
        <v>0</v>
      </c>
      <c r="O8" t="b">
        <f t="shared" si="3"/>
        <v>1</v>
      </c>
      <c r="P8" t="str">
        <f t="shared" si="4"/>
        <v>Role Desired</v>
      </c>
      <c r="Q8" t="str">
        <f t="shared" si="5"/>
        <v>Low</v>
      </c>
      <c r="R8" t="str" cm="1">
        <f t="array" ref="R8">_xlfn.IFS($H8="","No Data",$H8&gt;=$Q$1,"Salary High", TRUE, "Salary Low")</f>
        <v>No Data</v>
      </c>
    </row>
    <row r="9" spans="1:18" x14ac:dyDescent="0.2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0"/>
        <v>NOT Desired</v>
      </c>
      <c r="M9" t="str">
        <f t="shared" si="1"/>
        <v>Role Desired</v>
      </c>
      <c r="N9" t="b">
        <f t="shared" si="2"/>
        <v>0</v>
      </c>
      <c r="O9" t="b">
        <f t="shared" si="3"/>
        <v>1</v>
      </c>
      <c r="P9" t="str">
        <f t="shared" si="4"/>
        <v>Role Desired</v>
      </c>
      <c r="Q9" t="str">
        <f t="shared" si="5"/>
        <v>High</v>
      </c>
      <c r="R9" t="str" cm="1">
        <f t="array" ref="R9">_xlfn.IFS($H9="","No Data",$H9&gt;=$Q$1,"Salary High", TRUE, "Salary Low")</f>
        <v>Salary High</v>
      </c>
    </row>
    <row r="10" spans="1:18" x14ac:dyDescent="0.2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0"/>
        <v>NOT Desired</v>
      </c>
      <c r="M10" t="str">
        <f t="shared" si="1"/>
        <v>Role Desired</v>
      </c>
      <c r="N10" t="b">
        <f t="shared" si="2"/>
        <v>0</v>
      </c>
      <c r="O10" t="b">
        <f t="shared" si="3"/>
        <v>1</v>
      </c>
      <c r="P10" t="str">
        <f t="shared" si="4"/>
        <v>Role Desired</v>
      </c>
      <c r="Q10" t="str">
        <f t="shared" si="5"/>
        <v>Low</v>
      </c>
      <c r="R10" t="str" cm="1">
        <f t="array" ref="R10">_xlfn.IFS($H10="","No Data",$H10&gt;=$Q$1,"Salary High", TRUE, "Salary Low")</f>
        <v>No Data</v>
      </c>
    </row>
    <row r="11" spans="1:18" x14ac:dyDescent="0.2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0"/>
        <v>NOT Desired</v>
      </c>
      <c r="M11" t="str">
        <f t="shared" si="1"/>
        <v>Role Desired</v>
      </c>
      <c r="N11" t="b">
        <f t="shared" si="2"/>
        <v>0</v>
      </c>
      <c r="O11" t="b">
        <f t="shared" si="3"/>
        <v>1</v>
      </c>
      <c r="P11" t="str">
        <f t="shared" si="4"/>
        <v>Role Desired</v>
      </c>
      <c r="Q11" t="str">
        <f t="shared" si="5"/>
        <v>High</v>
      </c>
      <c r="R11" t="str" cm="1">
        <f t="array" ref="R11">_xlfn.IFS($H11="","No Data",$H11&gt;=$Q$1,"Salary High", TRUE, "Salary Low")</f>
        <v>Salary High</v>
      </c>
    </row>
    <row r="12" spans="1:18" x14ac:dyDescent="0.2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0"/>
        <v>NOT Desired</v>
      </c>
      <c r="M12" t="str">
        <f t="shared" si="1"/>
        <v>NOT Desired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Q12" t="str">
        <f t="shared" si="5"/>
        <v>High</v>
      </c>
      <c r="R12" t="str" cm="1">
        <f t="array" ref="R12">_xlfn.IFS($H12="","No Data",$H12&gt;=$Q$1,"Salary High", TRUE, "Salary Low")</f>
        <v>Salary High</v>
      </c>
    </row>
    <row r="13" spans="1:18" x14ac:dyDescent="0.2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Q13" t="str">
        <f t="shared" si="5"/>
        <v>High</v>
      </c>
      <c r="R13" t="str" cm="1">
        <f t="array" ref="R13">_xlfn.IFS($H13="","No Data",$H13&gt;=$Q$1,"Salary High", TRUE, "Salary Low")</f>
        <v>Salary High</v>
      </c>
    </row>
    <row r="14" spans="1:18" x14ac:dyDescent="0.2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Q14" t="str">
        <f t="shared" si="5"/>
        <v>High</v>
      </c>
      <c r="R14" t="str" cm="1">
        <f t="array" ref="R14">_xlfn.IFS($H14="","No Data",$H14&gt;=$Q$1,"Salary High", TRUE, "Salary Low")</f>
        <v>Salary High</v>
      </c>
    </row>
    <row r="15" spans="1:18" x14ac:dyDescent="0.2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Q15" t="str">
        <f t="shared" si="5"/>
        <v>Low</v>
      </c>
      <c r="R15" t="str" cm="1">
        <f t="array" ref="R15">_xlfn.IFS($H15="","No Data",$H15&gt;=$Q$1,"Salary High", TRUE, "Salary Low")</f>
        <v>Salary Low</v>
      </c>
    </row>
    <row r="16" spans="1:18" x14ac:dyDescent="0.2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Q16" t="str">
        <f t="shared" si="5"/>
        <v>High</v>
      </c>
      <c r="R16" t="str" cm="1">
        <f t="array" ref="R16">_xlfn.IFS($H16="","No Data",$H16&gt;=$Q$1,"Salary High", TRUE, "Salary Low")</f>
        <v>Salary High</v>
      </c>
    </row>
    <row r="17" spans="1:18" x14ac:dyDescent="0.2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Q17" t="str">
        <f t="shared" si="5"/>
        <v>High</v>
      </c>
      <c r="R17" t="str" cm="1">
        <f t="array" ref="R17">_xlfn.IFS($H17="","No Data",$H17&gt;=$Q$1,"Salary High", TRUE, "Salary Low")</f>
        <v>Salary High</v>
      </c>
    </row>
    <row r="18" spans="1:18" x14ac:dyDescent="0.2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0"/>
        <v>Role Desired</v>
      </c>
      <c r="M18" t="str">
        <f t="shared" si="1"/>
        <v>Role Desired</v>
      </c>
      <c r="N18" t="b">
        <f t="shared" si="2"/>
        <v>0</v>
      </c>
      <c r="O18" t="b">
        <f t="shared" si="3"/>
        <v>1</v>
      </c>
      <c r="P18" t="str">
        <f t="shared" si="4"/>
        <v>Role Desired</v>
      </c>
      <c r="Q18" t="str">
        <f t="shared" si="5"/>
        <v>Low</v>
      </c>
      <c r="R18" t="str" cm="1">
        <f t="array" ref="R18">_xlfn.IFS($H18="","No Data",$H18&gt;=$Q$1,"Salary High", TRUE, "Salary Low")</f>
        <v>No Data</v>
      </c>
    </row>
    <row r="19" spans="1:18" x14ac:dyDescent="0.2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Q19" t="str">
        <f t="shared" si="5"/>
        <v>High</v>
      </c>
      <c r="R19" t="str" cm="1">
        <f t="array" ref="R19">_xlfn.IFS($H19="","No Data",$H19&gt;=$Q$1,"Salary High", TRUE, "Salary Low")</f>
        <v>Salary High</v>
      </c>
    </row>
    <row r="20" spans="1:18" x14ac:dyDescent="0.2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Q20" t="str">
        <f t="shared" si="5"/>
        <v>Low</v>
      </c>
      <c r="R20" t="str" cm="1">
        <f t="array" ref="R20">_xlfn.IFS($H20="","No Data",$H20&gt;=$Q$1,"Salary High", TRUE, "Salary Low")</f>
        <v>No Data</v>
      </c>
    </row>
    <row r="21" spans="1:18" x14ac:dyDescent="0.2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0"/>
        <v>Role Desired</v>
      </c>
      <c r="M21" t="str">
        <f t="shared" si="1"/>
        <v>Role Desired</v>
      </c>
      <c r="N21" t="b">
        <f t="shared" si="2"/>
        <v>0</v>
      </c>
      <c r="O21" t="b">
        <f t="shared" si="3"/>
        <v>1</v>
      </c>
      <c r="P21" t="str">
        <f t="shared" si="4"/>
        <v>Role Desired</v>
      </c>
      <c r="Q21" t="str">
        <f t="shared" si="5"/>
        <v>High</v>
      </c>
      <c r="R21" t="str" cm="1">
        <f t="array" ref="R21">_xlfn.IFS($H21="","No Data",$H21&gt;=$Q$1,"Salary High", TRUE, "Salary Low")</f>
        <v>Salary High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5" x14ac:dyDescent="0.25"/>
  <cols>
    <col min="1" max="1" width="16.85546875" bestFit="1" customWidth="1"/>
    <col min="2" max="2" width="17.42578125" hidden="1" customWidth="1"/>
    <col min="3" max="3" width="21.85546875" hidden="1" customWidth="1"/>
    <col min="4" max="4" width="11.140625" hidden="1" customWidth="1"/>
    <col min="5" max="5" width="38.140625" hidden="1" customWidth="1"/>
    <col min="6" max="6" width="14.5703125" hidden="1" customWidth="1"/>
    <col min="7" max="7" width="18.5703125" hidden="1" customWidth="1"/>
    <col min="8" max="8" width="13.85546875" bestFit="1" customWidth="1"/>
    <col min="9" max="9" width="19" hidden="1" customWidth="1"/>
    <col min="10" max="10" width="68.140625" hidden="1" customWidth="1"/>
    <col min="11" max="11" width="15.85546875" bestFit="1" customWidth="1"/>
    <col min="12" max="12" width="19.140625" bestFit="1" customWidth="1"/>
    <col min="13" max="13" width="14.28515625" bestFit="1" customWidth="1"/>
    <col min="14" max="14" width="11.28515625" bestFit="1" customWidth="1"/>
    <col min="15" max="15" width="10.140625" bestFit="1" customWidth="1"/>
    <col min="16" max="16" width="14.28515625" bestFit="1" customWidth="1"/>
    <col min="17" max="17" width="10.7109375" bestFit="1" customWidth="1"/>
    <col min="18" max="18" width="12.42578125" bestFit="1" customWidth="1"/>
  </cols>
  <sheetData>
    <row r="1" spans="1:18 16384:16384" x14ac:dyDescent="0.2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2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2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2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2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2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2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2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2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2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2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2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2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2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2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2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2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2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2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2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2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5" x14ac:dyDescent="0.25"/>
  <cols>
    <col min="1" max="1" width="6.5703125" customWidth="1"/>
    <col min="2" max="2" width="13.42578125" customWidth="1"/>
    <col min="3" max="3" width="31.42578125" bestFit="1" customWidth="1"/>
    <col min="4" max="4" width="60.42578125" bestFit="1" customWidth="1"/>
    <col min="5" max="5" width="19.7109375" bestFit="1" customWidth="1"/>
    <col min="6" max="6" width="17.5703125" bestFit="1" customWidth="1"/>
  </cols>
  <sheetData>
    <row r="2" spans="2:6" x14ac:dyDescent="0.25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25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25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25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25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25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25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25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E2" sqref="D2:E2"/>
    </sheetView>
  </sheetViews>
  <sheetFormatPr defaultRowHeight="15" x14ac:dyDescent="0.25"/>
  <cols>
    <col min="2" max="2" width="9.85546875" bestFit="1" customWidth="1"/>
    <col min="3" max="3" width="10.5703125" customWidth="1"/>
  </cols>
  <sheetData>
    <row r="1" spans="2:5" ht="15.75" thickBot="1" x14ac:dyDescent="0.3"/>
    <row r="2" spans="2:5" x14ac:dyDescent="0.2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2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2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2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.75" thickBot="1" x14ac:dyDescent="0.3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Cristina Cristurean</cp:lastModifiedBy>
  <dcterms:created xsi:type="dcterms:W3CDTF">2024-07-16T20:11:02Z</dcterms:created>
  <dcterms:modified xsi:type="dcterms:W3CDTF">2025-10-07T18:31:46Z</dcterms:modified>
</cp:coreProperties>
</file>